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eth Dale Tuazon\Desktop\"/>
    </mc:Choice>
  </mc:AlternateContent>
  <xr:revisionPtr revIDLastSave="0" documentId="13_ncr:1_{22D85A47-742B-4602-A0DF-5060BE0CA380}" xr6:coauthVersionLast="47" xr6:coauthVersionMax="47" xr10:uidLastSave="{00000000-0000-0000-0000-000000000000}"/>
  <bookViews>
    <workbookView xWindow="-120" yWindow="-120" windowWidth="29040" windowHeight="17520" xr2:uid="{247FE7D3-00AD-4A66-AB9D-684070826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D48" i="1"/>
  <c r="C48" i="1"/>
  <c r="D47" i="1"/>
  <c r="C47" i="1"/>
  <c r="D46" i="1"/>
  <c r="C46" i="1"/>
  <c r="D38" i="1"/>
  <c r="C38" i="1"/>
  <c r="C37" i="1"/>
  <c r="D37" i="1"/>
  <c r="D36" i="1"/>
  <c r="C36" i="1"/>
  <c r="C28" i="1"/>
  <c r="D27" i="1"/>
  <c r="C27" i="1"/>
  <c r="D26" i="1"/>
  <c r="C26" i="1"/>
  <c r="D25" i="1"/>
  <c r="C25" i="1"/>
  <c r="C17" i="1"/>
  <c r="D16" i="1"/>
  <c r="E16" i="1" s="1"/>
  <c r="C16" i="1"/>
  <c r="D15" i="1"/>
  <c r="C15" i="1"/>
  <c r="D14" i="1"/>
  <c r="C14" i="1"/>
  <c r="D6" i="1"/>
  <c r="D28" i="1" s="1"/>
  <c r="D5" i="1"/>
  <c r="E5" i="1" s="1"/>
  <c r="D4" i="1"/>
  <c r="E4" i="1" s="1"/>
  <c r="D3" i="1"/>
  <c r="C5" i="1"/>
  <c r="C4" i="1"/>
  <c r="C3" i="1"/>
  <c r="C10" i="1" s="1"/>
  <c r="D51" i="1"/>
  <c r="C52" i="1"/>
  <c r="D42" i="1"/>
  <c r="C42" i="1"/>
  <c r="D29" i="1"/>
  <c r="C29" i="1"/>
  <c r="C49" i="1" s="1"/>
  <c r="D31" i="1"/>
  <c r="C31" i="1"/>
  <c r="E31" i="1"/>
  <c r="D20" i="1"/>
  <c r="C20" i="1"/>
  <c r="D19" i="1"/>
  <c r="D30" i="1" s="1"/>
  <c r="D18" i="1"/>
  <c r="D39" i="1" s="1"/>
  <c r="C18" i="1"/>
  <c r="C39" i="1" s="1"/>
  <c r="C19" i="1"/>
  <c r="C40" i="1" s="1"/>
  <c r="E15" i="1"/>
  <c r="E7" i="1"/>
  <c r="E8" i="1"/>
  <c r="E9" i="1"/>
  <c r="E42" i="1" l="1"/>
  <c r="E25" i="1"/>
  <c r="E38" i="1"/>
  <c r="E37" i="1"/>
  <c r="D40" i="1"/>
  <c r="E40" i="1" s="1"/>
  <c r="C30" i="1"/>
  <c r="C50" i="1" s="1"/>
  <c r="C53" i="1" s="1"/>
  <c r="E52" i="1"/>
  <c r="E6" i="1"/>
  <c r="D17" i="1"/>
  <c r="E17" i="1" s="1"/>
  <c r="E48" i="1"/>
  <c r="E49" i="1"/>
  <c r="E47" i="1"/>
  <c r="E14" i="1"/>
  <c r="D10" i="1"/>
  <c r="E10" i="1" s="1"/>
  <c r="F10" i="1" s="1"/>
  <c r="C21" i="1"/>
  <c r="C32" i="1"/>
  <c r="E39" i="1"/>
  <c r="D50" i="1"/>
  <c r="D53" i="1" s="1"/>
  <c r="D41" i="1"/>
  <c r="E20" i="1"/>
  <c r="C41" i="1"/>
  <c r="C51" i="1" s="1"/>
  <c r="E51" i="1" s="1"/>
  <c r="E18" i="1"/>
  <c r="D21" i="1"/>
  <c r="E26" i="1"/>
  <c r="E3" i="1"/>
  <c r="E19" i="1"/>
  <c r="D32" i="1"/>
  <c r="E27" i="1"/>
  <c r="E46" i="1"/>
  <c r="E36" i="1"/>
  <c r="E29" i="1"/>
  <c r="E28" i="1"/>
  <c r="E30" i="1" l="1"/>
  <c r="C43" i="1"/>
  <c r="E41" i="1"/>
  <c r="E21" i="1"/>
  <c r="F21" i="1" s="1"/>
  <c r="E32" i="1"/>
  <c r="F32" i="1" s="1"/>
  <c r="E50" i="1"/>
  <c r="E53" i="1" s="1"/>
  <c r="F53" i="1" s="1"/>
  <c r="E43" i="1"/>
  <c r="D43" i="1"/>
  <c r="F43" i="1" l="1"/>
</calcChain>
</file>

<file path=xl/sharedStrings.xml><?xml version="1.0" encoding="utf-8"?>
<sst xmlns="http://schemas.openxmlformats.org/spreadsheetml/2006/main" count="60" uniqueCount="28">
  <si>
    <t xml:space="preserve">600 Watts Solar Controller </t>
  </si>
  <si>
    <t>100 Ah, 12 Volts Battery Bank</t>
  </si>
  <si>
    <t xml:space="preserve">Mounting Kit — AL6005-T5 Aluminum Rails </t>
  </si>
  <si>
    <t>Electrical Balance of System, Wire, Grounding</t>
  </si>
  <si>
    <t>Installation, Engineering &amp; PEE Sign-off</t>
  </si>
  <si>
    <t>1000 Ah, 12 Volts Battery Bank</t>
  </si>
  <si>
    <t>Unit Cost (Buying Price)</t>
  </si>
  <si>
    <t>Selling Price</t>
  </si>
  <si>
    <t>Net Proceed</t>
  </si>
  <si>
    <t>No. of Units</t>
  </si>
  <si>
    <t>3 pcs 100 Ah, 12 Volts Battery Bank</t>
  </si>
  <si>
    <t xml:space="preserve">2 pcs 600 Watts Solar Controller </t>
  </si>
  <si>
    <t>5 pcs 100 Ah, 12 Volts Battery Bank</t>
  </si>
  <si>
    <t>6 pcs 100 Ah, 12 Volts Battery Bank</t>
  </si>
  <si>
    <t xml:space="preserve">2pcs 1kW Hybrid Inverter — Dual MPPT High-Voltage </t>
  </si>
  <si>
    <t xml:space="preserve">2 pcs 1kW Hybrid Inverter — Dual MPPT High-Voltage </t>
  </si>
  <si>
    <t xml:space="preserve">1 pc 1kW Hybrid Inverter — Dual MPPT High-Voltage </t>
  </si>
  <si>
    <t xml:space="preserve">4 pcs 600 Watts Solar Controller </t>
  </si>
  <si>
    <t xml:space="preserve">(6200w Solar Set up) 5000w peak </t>
  </si>
  <si>
    <t xml:space="preserve">8 620w Solar Panel-1 tier N type </t>
  </si>
  <si>
    <t xml:space="preserve">10 620w Solar Panel-1 tier N type </t>
  </si>
  <si>
    <t xml:space="preserve">6 620w Solar Panel-1 tier N type </t>
  </si>
  <si>
    <t xml:space="preserve">4 pcs 620w Solar Panel-1 tier N type </t>
  </si>
  <si>
    <t xml:space="preserve">3 pcs 620w Solar Panel-1 tier N type </t>
  </si>
  <si>
    <t xml:space="preserve">(1860w Solar Set up) 1000w peak </t>
  </si>
  <si>
    <t xml:space="preserve"> (2480w Solar Set up) 2000w peak</t>
  </si>
  <si>
    <t>(3720w Solar Set up) 3000w  peak</t>
  </si>
  <si>
    <t>(4960w Solar Set up) 4000w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</si>
</sst>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  <xf numFmtId="9" fontId="2" fillId="0" borderId="0" xfId="1" applyFont="1"/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F69E-8491-4E02-B417-CB756F8B927C}">
  <dimension ref="A2:F53"/>
  <sheetViews>
    <sheetView tabSelected="1" topLeftCell="A27" workbookViewId="0">
      <selection activeCell="B45" sqref="B45:E45"/>
    </sheetView>
  </sheetViews>
  <sheetFormatPr defaultColWidth="20.7109375" defaultRowHeight="18.75" x14ac:dyDescent="0.3"/>
  <cols>
    <col min="1" max="1" width="65.7109375" style="1" customWidth="1"/>
    <col min="2" max="2" width="15.28515625" style="6" customWidth="1"/>
    <col min="3" max="3" width="28.5703125" style="2" customWidth="1"/>
    <col min="4" max="4" width="20.7109375" style="2"/>
    <col min="5" max="5" width="17.28515625" style="1" customWidth="1"/>
    <col min="6" max="6" width="6.85546875" style="4" customWidth="1"/>
    <col min="7" max="16384" width="20.7109375" style="1"/>
  </cols>
  <sheetData>
    <row r="2" spans="1:6" x14ac:dyDescent="0.3">
      <c r="A2" s="5" t="s">
        <v>24</v>
      </c>
      <c r="B2" s="6" t="s">
        <v>9</v>
      </c>
      <c r="C2" s="2" t="s">
        <v>6</v>
      </c>
      <c r="D2" s="2" t="s">
        <v>7</v>
      </c>
      <c r="E2" s="1" t="s">
        <v>8</v>
      </c>
    </row>
    <row r="3" spans="1:6" x14ac:dyDescent="0.3">
      <c r="A3" s="1" t="s">
        <v>23</v>
      </c>
      <c r="B3" s="6">
        <v>3</v>
      </c>
      <c r="C3" s="2">
        <f>6500*B3</f>
        <v>19500</v>
      </c>
      <c r="D3" s="2">
        <f>15000*B3</f>
        <v>45000</v>
      </c>
      <c r="E3" s="2">
        <f>D3-C3</f>
        <v>25500</v>
      </c>
    </row>
    <row r="4" spans="1:6" x14ac:dyDescent="0.3">
      <c r="A4" s="1" t="s">
        <v>16</v>
      </c>
      <c r="B4" s="6">
        <v>1</v>
      </c>
      <c r="C4" s="2">
        <f>B4*12000</f>
        <v>12000</v>
      </c>
      <c r="D4" s="2">
        <f>B4*24000</f>
        <v>24000</v>
      </c>
      <c r="E4" s="2">
        <f t="shared" ref="E4:E9" si="0">D4-C4</f>
        <v>12000</v>
      </c>
    </row>
    <row r="5" spans="1:6" x14ac:dyDescent="0.3">
      <c r="A5" s="1" t="s">
        <v>0</v>
      </c>
      <c r="B5" s="6">
        <v>1</v>
      </c>
      <c r="C5" s="2">
        <f>B5*8000</f>
        <v>8000</v>
      </c>
      <c r="D5" s="2">
        <f>B5*16000</f>
        <v>16000</v>
      </c>
      <c r="E5" s="2">
        <f t="shared" si="0"/>
        <v>8000</v>
      </c>
    </row>
    <row r="6" spans="1:6" x14ac:dyDescent="0.3">
      <c r="A6" s="1" t="s">
        <v>1</v>
      </c>
      <c r="B6" s="6">
        <v>1</v>
      </c>
      <c r="C6" s="2">
        <v>18000</v>
      </c>
      <c r="D6" s="2">
        <f>B6*36000</f>
        <v>36000</v>
      </c>
      <c r="E6" s="2">
        <f t="shared" si="0"/>
        <v>18000</v>
      </c>
    </row>
    <row r="7" spans="1:6" x14ac:dyDescent="0.3">
      <c r="A7" s="1" t="s">
        <v>2</v>
      </c>
      <c r="C7" s="2">
        <v>5000</v>
      </c>
      <c r="D7" s="2">
        <v>10000</v>
      </c>
      <c r="E7" s="2">
        <f t="shared" si="0"/>
        <v>5000</v>
      </c>
    </row>
    <row r="8" spans="1:6" x14ac:dyDescent="0.3">
      <c r="A8" s="1" t="s">
        <v>3</v>
      </c>
      <c r="C8" s="2">
        <v>10000</v>
      </c>
      <c r="D8" s="2">
        <v>20000</v>
      </c>
      <c r="E8" s="2">
        <f t="shared" si="0"/>
        <v>10000</v>
      </c>
    </row>
    <row r="9" spans="1:6" x14ac:dyDescent="0.3">
      <c r="A9" s="1" t="s">
        <v>4</v>
      </c>
      <c r="C9" s="3">
        <v>15000</v>
      </c>
      <c r="D9" s="3">
        <v>20000</v>
      </c>
      <c r="E9" s="3">
        <f t="shared" si="0"/>
        <v>5000</v>
      </c>
    </row>
    <row r="10" spans="1:6" x14ac:dyDescent="0.3">
      <c r="C10" s="2">
        <f>SUM(C3:C9)</f>
        <v>87500</v>
      </c>
      <c r="D10" s="2">
        <f>SUM(D3:D9)</f>
        <v>171000</v>
      </c>
      <c r="E10" s="2">
        <f>D10-C10</f>
        <v>83500</v>
      </c>
      <c r="F10" s="4">
        <f>E10/D10</f>
        <v>0.48830409356725146</v>
      </c>
    </row>
    <row r="11" spans="1:6" x14ac:dyDescent="0.3">
      <c r="E11" s="2"/>
    </row>
    <row r="13" spans="1:6" x14ac:dyDescent="0.3">
      <c r="A13" s="5" t="s">
        <v>25</v>
      </c>
      <c r="B13" s="6" t="s">
        <v>9</v>
      </c>
      <c r="C13" s="2" t="s">
        <v>6</v>
      </c>
      <c r="D13" s="2" t="s">
        <v>7</v>
      </c>
      <c r="E13" s="1" t="s">
        <v>8</v>
      </c>
    </row>
    <row r="14" spans="1:6" x14ac:dyDescent="0.3">
      <c r="A14" s="1" t="s">
        <v>22</v>
      </c>
      <c r="B14" s="6">
        <v>4</v>
      </c>
      <c r="C14" s="2">
        <f>B14*6500</f>
        <v>26000</v>
      </c>
      <c r="D14" s="2">
        <f>B14*15000</f>
        <v>60000</v>
      </c>
      <c r="E14" s="2">
        <f>D14-C14</f>
        <v>34000</v>
      </c>
    </row>
    <row r="15" spans="1:6" x14ac:dyDescent="0.3">
      <c r="A15" s="1" t="s">
        <v>16</v>
      </c>
      <c r="B15" s="6">
        <v>1</v>
      </c>
      <c r="C15" s="2">
        <f>B15*12000</f>
        <v>12000</v>
      </c>
      <c r="D15" s="2">
        <f>B15*24000</f>
        <v>24000</v>
      </c>
      <c r="E15" s="2">
        <f t="shared" ref="E15:E20" si="1">D15-C15</f>
        <v>12000</v>
      </c>
    </row>
    <row r="16" spans="1:6" x14ac:dyDescent="0.3">
      <c r="A16" s="1" t="s">
        <v>0</v>
      </c>
      <c r="B16" s="6">
        <v>1</v>
      </c>
      <c r="C16" s="2">
        <f>B16*8000</f>
        <v>8000</v>
      </c>
      <c r="D16" s="2">
        <f>B16*16000</f>
        <v>16000</v>
      </c>
      <c r="E16" s="2">
        <f t="shared" si="1"/>
        <v>8000</v>
      </c>
    </row>
    <row r="17" spans="1:6" x14ac:dyDescent="0.3">
      <c r="A17" s="1" t="s">
        <v>10</v>
      </c>
      <c r="B17" s="6">
        <v>3</v>
      </c>
      <c r="C17" s="2">
        <f>C6*B17</f>
        <v>54000</v>
      </c>
      <c r="D17" s="2">
        <f>D6*B17</f>
        <v>108000</v>
      </c>
      <c r="E17" s="2">
        <f t="shared" si="1"/>
        <v>54000</v>
      </c>
    </row>
    <row r="18" spans="1:6" x14ac:dyDescent="0.3">
      <c r="A18" s="1" t="s">
        <v>2</v>
      </c>
      <c r="C18" s="2">
        <f>C7*2</f>
        <v>10000</v>
      </c>
      <c r="D18" s="2">
        <f>D7*2</f>
        <v>20000</v>
      </c>
      <c r="E18" s="2">
        <f t="shared" si="1"/>
        <v>10000</v>
      </c>
    </row>
    <row r="19" spans="1:6" x14ac:dyDescent="0.3">
      <c r="A19" s="1" t="s">
        <v>3</v>
      </c>
      <c r="C19" s="2">
        <f>C8</f>
        <v>10000</v>
      </c>
      <c r="D19" s="2">
        <f>D8</f>
        <v>20000</v>
      </c>
      <c r="E19" s="2">
        <f t="shared" si="1"/>
        <v>10000</v>
      </c>
    </row>
    <row r="20" spans="1:6" x14ac:dyDescent="0.3">
      <c r="A20" s="1" t="s">
        <v>4</v>
      </c>
      <c r="C20" s="3">
        <f>C9*2</f>
        <v>30000</v>
      </c>
      <c r="D20" s="3">
        <f>D9*2</f>
        <v>40000</v>
      </c>
      <c r="E20" s="3">
        <f t="shared" si="1"/>
        <v>10000</v>
      </c>
    </row>
    <row r="21" spans="1:6" x14ac:dyDescent="0.3">
      <c r="C21" s="2">
        <f>SUM(C14:C20)</f>
        <v>150000</v>
      </c>
      <c r="D21" s="2">
        <f>SUM(D14:D20)</f>
        <v>288000</v>
      </c>
      <c r="E21" s="2">
        <f>SUM(E14:E20)</f>
        <v>138000</v>
      </c>
      <c r="F21" s="4">
        <f>E21/D21</f>
        <v>0.47916666666666669</v>
      </c>
    </row>
    <row r="22" spans="1:6" x14ac:dyDescent="0.3">
      <c r="E22" s="2"/>
    </row>
    <row r="24" spans="1:6" x14ac:dyDescent="0.3">
      <c r="A24" s="5" t="s">
        <v>26</v>
      </c>
      <c r="B24" s="6" t="s">
        <v>9</v>
      </c>
      <c r="C24" s="2" t="s">
        <v>6</v>
      </c>
      <c r="D24" s="2" t="s">
        <v>7</v>
      </c>
      <c r="E24" s="1" t="s">
        <v>8</v>
      </c>
    </row>
    <row r="25" spans="1:6" x14ac:dyDescent="0.3">
      <c r="A25" s="1" t="s">
        <v>21</v>
      </c>
      <c r="B25" s="6">
        <v>6</v>
      </c>
      <c r="C25" s="2">
        <f>B25*6500</f>
        <v>39000</v>
      </c>
      <c r="D25" s="2">
        <f>B25*15000</f>
        <v>90000</v>
      </c>
      <c r="E25" s="2">
        <f>D25-C25</f>
        <v>51000</v>
      </c>
    </row>
    <row r="26" spans="1:6" x14ac:dyDescent="0.3">
      <c r="A26" s="1" t="s">
        <v>15</v>
      </c>
      <c r="B26" s="6">
        <v>2</v>
      </c>
      <c r="C26" s="2">
        <f>12000*B26</f>
        <v>24000</v>
      </c>
      <c r="D26" s="2">
        <f>24000*B26</f>
        <v>48000</v>
      </c>
      <c r="E26" s="2">
        <f t="shared" ref="E26:E31" si="2">D26-C26</f>
        <v>24000</v>
      </c>
    </row>
    <row r="27" spans="1:6" x14ac:dyDescent="0.3">
      <c r="A27" s="1" t="s">
        <v>11</v>
      </c>
      <c r="B27" s="6">
        <v>2</v>
      </c>
      <c r="C27" s="2">
        <f>8000*B27</f>
        <v>16000</v>
      </c>
      <c r="D27" s="2">
        <f>16000*B27</f>
        <v>32000</v>
      </c>
      <c r="E27" s="2">
        <f t="shared" si="2"/>
        <v>16000</v>
      </c>
    </row>
    <row r="28" spans="1:6" x14ac:dyDescent="0.3">
      <c r="A28" s="1" t="s">
        <v>12</v>
      </c>
      <c r="B28" s="6">
        <v>5</v>
      </c>
      <c r="C28" s="2">
        <f>C6*B28</f>
        <v>90000</v>
      </c>
      <c r="D28" s="2">
        <f>D6*B28</f>
        <v>180000</v>
      </c>
      <c r="E28" s="2">
        <f t="shared" si="2"/>
        <v>90000</v>
      </c>
    </row>
    <row r="29" spans="1:6" x14ac:dyDescent="0.3">
      <c r="A29" s="1" t="s">
        <v>2</v>
      </c>
      <c r="C29" s="2">
        <f>C7*2</f>
        <v>10000</v>
      </c>
      <c r="D29" s="2">
        <f>D7*2</f>
        <v>20000</v>
      </c>
      <c r="E29" s="2">
        <f t="shared" si="2"/>
        <v>10000</v>
      </c>
    </row>
    <row r="30" spans="1:6" x14ac:dyDescent="0.3">
      <c r="A30" s="1" t="s">
        <v>3</v>
      </c>
      <c r="C30" s="2">
        <f>C19</f>
        <v>10000</v>
      </c>
      <c r="D30" s="2">
        <f>D19</f>
        <v>20000</v>
      </c>
      <c r="E30" s="2">
        <f t="shared" si="2"/>
        <v>10000</v>
      </c>
    </row>
    <row r="31" spans="1:6" x14ac:dyDescent="0.3">
      <c r="A31" s="1" t="s">
        <v>4</v>
      </c>
      <c r="C31" s="3">
        <f>C9*3</f>
        <v>45000</v>
      </c>
      <c r="D31" s="3">
        <f>D9*3</f>
        <v>60000</v>
      </c>
      <c r="E31" s="3">
        <f t="shared" si="2"/>
        <v>15000</v>
      </c>
    </row>
    <row r="32" spans="1:6" x14ac:dyDescent="0.3">
      <c r="C32" s="2">
        <f>SUM(C25:C31)</f>
        <v>234000</v>
      </c>
      <c r="D32" s="2">
        <f>SUM(D25:D31)</f>
        <v>450000</v>
      </c>
      <c r="E32" s="2">
        <f>SUM(E25:E31)</f>
        <v>216000</v>
      </c>
      <c r="F32" s="4">
        <f>E32/D32</f>
        <v>0.48</v>
      </c>
    </row>
    <row r="35" spans="1:6" x14ac:dyDescent="0.3">
      <c r="A35" s="5" t="s">
        <v>27</v>
      </c>
      <c r="B35" s="6" t="s">
        <v>9</v>
      </c>
      <c r="C35" s="2" t="s">
        <v>6</v>
      </c>
      <c r="D35" s="2" t="s">
        <v>7</v>
      </c>
      <c r="E35" s="1" t="s">
        <v>8</v>
      </c>
    </row>
    <row r="36" spans="1:6" x14ac:dyDescent="0.3">
      <c r="A36" s="1" t="s">
        <v>19</v>
      </c>
      <c r="B36" s="6">
        <v>8</v>
      </c>
      <c r="C36" s="2">
        <f>B36*6500</f>
        <v>52000</v>
      </c>
      <c r="D36" s="2">
        <f>B36*15000</f>
        <v>120000</v>
      </c>
      <c r="E36" s="2">
        <f>D36-C36</f>
        <v>68000</v>
      </c>
    </row>
    <row r="37" spans="1:6" x14ac:dyDescent="0.3">
      <c r="A37" s="1" t="s">
        <v>14</v>
      </c>
      <c r="B37" s="6">
        <v>2</v>
      </c>
      <c r="C37" s="2">
        <f>12000*B37</f>
        <v>24000</v>
      </c>
      <c r="D37" s="2">
        <f>24000*B37</f>
        <v>48000</v>
      </c>
      <c r="E37" s="2">
        <f t="shared" ref="E37:E42" si="3">D37-C37</f>
        <v>24000</v>
      </c>
    </row>
    <row r="38" spans="1:6" x14ac:dyDescent="0.3">
      <c r="A38" s="1" t="s">
        <v>11</v>
      </c>
      <c r="B38" s="6">
        <v>2</v>
      </c>
      <c r="C38" s="2">
        <f>8000*B38</f>
        <v>16000</v>
      </c>
      <c r="D38" s="2">
        <f>16000*B38</f>
        <v>32000</v>
      </c>
      <c r="E38" s="2">
        <f t="shared" si="3"/>
        <v>16000</v>
      </c>
    </row>
    <row r="39" spans="1:6" x14ac:dyDescent="0.3">
      <c r="A39" s="1" t="s">
        <v>13</v>
      </c>
      <c r="B39" s="6">
        <v>6</v>
      </c>
      <c r="C39" s="2">
        <f>C18*B39</f>
        <v>60000</v>
      </c>
      <c r="D39" s="2">
        <f>D18*B39</f>
        <v>120000</v>
      </c>
      <c r="E39" s="2">
        <f t="shared" si="3"/>
        <v>60000</v>
      </c>
    </row>
    <row r="40" spans="1:6" x14ac:dyDescent="0.3">
      <c r="A40" s="1" t="s">
        <v>2</v>
      </c>
      <c r="C40" s="2">
        <f>C19*3</f>
        <v>30000</v>
      </c>
      <c r="D40" s="2">
        <f>D19*3</f>
        <v>60000</v>
      </c>
      <c r="E40" s="2">
        <f t="shared" si="3"/>
        <v>30000</v>
      </c>
    </row>
    <row r="41" spans="1:6" x14ac:dyDescent="0.3">
      <c r="A41" s="1" t="s">
        <v>3</v>
      </c>
      <c r="C41" s="2">
        <f>C30*3</f>
        <v>30000</v>
      </c>
      <c r="D41" s="2">
        <f>D30*3</f>
        <v>60000</v>
      </c>
      <c r="E41" s="2">
        <f>D41-C41</f>
        <v>30000</v>
      </c>
    </row>
    <row r="42" spans="1:6" x14ac:dyDescent="0.3">
      <c r="A42" s="1" t="s">
        <v>4</v>
      </c>
      <c r="C42" s="3">
        <f>50000</f>
        <v>50000</v>
      </c>
      <c r="D42" s="3">
        <f>60000</f>
        <v>60000</v>
      </c>
      <c r="E42" s="3">
        <f t="shared" si="3"/>
        <v>10000</v>
      </c>
    </row>
    <row r="43" spans="1:6" x14ac:dyDescent="0.3">
      <c r="C43" s="2">
        <f>SUM(C36:C42)</f>
        <v>262000</v>
      </c>
      <c r="D43" s="2">
        <f>SUM(D36:D42)</f>
        <v>500000</v>
      </c>
      <c r="E43" s="2">
        <f>SUM(E36:E42)</f>
        <v>238000</v>
      </c>
      <c r="F43" s="4">
        <f>E43/D43</f>
        <v>0.47599999999999998</v>
      </c>
    </row>
    <row r="45" spans="1:6" x14ac:dyDescent="0.3">
      <c r="A45" s="5" t="s">
        <v>18</v>
      </c>
      <c r="B45" s="6" t="s">
        <v>9</v>
      </c>
      <c r="C45" s="2" t="s">
        <v>6</v>
      </c>
      <c r="D45" s="2" t="s">
        <v>7</v>
      </c>
      <c r="E45" s="1" t="s">
        <v>8</v>
      </c>
    </row>
    <row r="46" spans="1:6" x14ac:dyDescent="0.3">
      <c r="A46" s="1" t="s">
        <v>20</v>
      </c>
      <c r="B46" s="6">
        <v>10</v>
      </c>
      <c r="C46" s="2">
        <f>B46*6500</f>
        <v>65000</v>
      </c>
      <c r="D46" s="2">
        <f>B46*15000</f>
        <v>150000</v>
      </c>
      <c r="E46" s="2">
        <f>D46-C46</f>
        <v>85000</v>
      </c>
    </row>
    <row r="47" spans="1:6" x14ac:dyDescent="0.3">
      <c r="A47" s="1" t="s">
        <v>14</v>
      </c>
      <c r="B47" s="6">
        <v>2</v>
      </c>
      <c r="C47" s="2">
        <f>12000*B47</f>
        <v>24000</v>
      </c>
      <c r="D47" s="2">
        <f>24000*B47</f>
        <v>48000</v>
      </c>
      <c r="E47" s="2">
        <f t="shared" ref="E47:E50" si="4">D47-C47</f>
        <v>24000</v>
      </c>
    </row>
    <row r="48" spans="1:6" x14ac:dyDescent="0.3">
      <c r="A48" s="1" t="s">
        <v>17</v>
      </c>
      <c r="B48" s="6">
        <v>4</v>
      </c>
      <c r="C48" s="2">
        <f>8000*B48</f>
        <v>32000</v>
      </c>
      <c r="D48" s="2">
        <f>16000*B48</f>
        <v>64000</v>
      </c>
      <c r="E48" s="2">
        <f t="shared" si="4"/>
        <v>32000</v>
      </c>
    </row>
    <row r="49" spans="1:6" x14ac:dyDescent="0.3">
      <c r="A49" s="1" t="s">
        <v>5</v>
      </c>
      <c r="B49" s="6">
        <v>10</v>
      </c>
      <c r="C49" s="2">
        <f>C29*B49</f>
        <v>100000</v>
      </c>
      <c r="D49" s="2">
        <v>178000</v>
      </c>
      <c r="E49" s="2">
        <f t="shared" si="4"/>
        <v>78000</v>
      </c>
    </row>
    <row r="50" spans="1:6" x14ac:dyDescent="0.3">
      <c r="A50" s="1" t="s">
        <v>2</v>
      </c>
      <c r="C50" s="2">
        <f>C30*4</f>
        <v>40000</v>
      </c>
      <c r="D50" s="2">
        <f>D30*4</f>
        <v>80000</v>
      </c>
      <c r="E50" s="2">
        <f t="shared" si="4"/>
        <v>40000</v>
      </c>
    </row>
    <row r="51" spans="1:6" x14ac:dyDescent="0.3">
      <c r="A51" s="1" t="s">
        <v>3</v>
      </c>
      <c r="C51" s="2">
        <f>C41*3</f>
        <v>90000</v>
      </c>
      <c r="D51" s="2">
        <f>160000</f>
        <v>160000</v>
      </c>
      <c r="E51" s="2">
        <f>D51-C51</f>
        <v>70000</v>
      </c>
    </row>
    <row r="52" spans="1:6" x14ac:dyDescent="0.3">
      <c r="A52" s="1" t="s">
        <v>4</v>
      </c>
      <c r="C52" s="3">
        <f>50000</f>
        <v>50000</v>
      </c>
      <c r="D52" s="3">
        <f>70000</f>
        <v>70000</v>
      </c>
      <c r="E52" s="3">
        <f t="shared" ref="E52" si="5">D52-C52</f>
        <v>20000</v>
      </c>
    </row>
    <row r="53" spans="1:6" x14ac:dyDescent="0.3">
      <c r="C53" s="2">
        <f>SUM(C46:C52)</f>
        <v>401000</v>
      </c>
      <c r="D53" s="2">
        <f>SUM(D46:D52)</f>
        <v>750000</v>
      </c>
      <c r="E53" s="2">
        <f>SUM(E46:E52)</f>
        <v>349000</v>
      </c>
      <c r="F53" s="4">
        <f>E53/D53</f>
        <v>0.46533333333333332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Keneth Dale Tuazon</dc:creator>
  <cp:lastModifiedBy>Keneth Dale Tuazon</cp:lastModifiedBy>
  <dcterms:created xsi:type="dcterms:W3CDTF">2026-04-27T15:00:00Z</dcterms:created>
  <dcterms:modified xsi:type="dcterms:W3CDTF">2026-04-27T23:42:23Z</dcterms:modified>
</cp:coreProperties>
</file>